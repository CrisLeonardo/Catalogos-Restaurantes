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4616" tabRatio="600" firstSheet="0" activeTab="0" autoFilterDateGrouping="1"/>
  </bookViews>
  <sheets>
    <sheet xmlns:r="http://schemas.openxmlformats.org/officeDocument/2006/relationships" name="Cotizador_Catalogos" sheetId="1" state="visible" r:id="rId1"/>
    <sheet xmlns:r="http://schemas.openxmlformats.org/officeDocument/2006/relationships" name="Escenario2_SinDelivery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[$Q-100A]* #,##0.00_-;\-[$Q-100A]* #,##0.00_-;_-[$Q-100A]* &quot;-&quot;??_-;_-@_-"/>
  </numFmts>
  <fonts count="7">
    <font>
      <name val="Arial"/>
      <color rgb="FF000000"/>
      <sz val="10"/>
      <scheme val="minor"/>
    </font>
    <font>
      <name val="Arial"/>
      <color theme="1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color theme="1"/>
      <sz val="10"/>
      <scheme val="minor"/>
    </font>
    <font>
      <name val="Arial"/>
      <family val="2"/>
      <color rgb="FF000000"/>
      <sz val="10"/>
      <scheme val="minor"/>
    </font>
    <font>
      <name val="Arial"/>
      <b val="1"/>
      <sz val="11"/>
    </font>
    <font>
      <name val="Arial"/>
      <i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4" fontId="1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1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/>
  </cellStyles>
  <dxfs count="6"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[$Q-100A]* #,##0.00_-;\-[$Q-100A]* #,##0.00_-;_-[$Q-100A]* &quot;-&quot;??_-;_-@_-"/>
    </dxf>
    <dxf>
      <font>
        <name val="Arial"/>
        <family val="2"/>
        <b val="1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_-[$Q-100A]* #,##0.00_-;\-[$Q-100A]* #,##0.00_-;_-[$Q-100A]* &quot;-&quot;??_-;_-@_-"/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  <dxf>
      <font>
        <name val="Arial"/>
        <strike val="0"/>
        <outline val="0"/>
        <shadow val="0"/>
        <condense val="0"/>
        <color theme="1"/>
        <extend val="0"/>
        <sz val="10"/>
        <vertAlign val="baseline"/>
        <scheme val="minor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a3" displayName="Tabla3" ref="A5:C10" headerRowCount="1" totalsRowShown="0">
  <autoFilter ref="A5:C10"/>
  <tableColumns count="3">
    <tableColumn id="1" name="1. DATOS ACTUALES DEL RESTAURANTE (Variables)" dataDxfId="5"/>
    <tableColumn id="2" name="Columna1"/>
    <tableColumn id="3" name="Columna2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id="2" name="Tabla4" displayName="Tabla4" ref="A12:C15" headerRowCount="1" totalsRowShown="0">
  <autoFilter ref="A12:C15"/>
  <tableColumns count="3">
    <tableColumn id="1" name="2. COSTO ACTUAL EN APPS TRADICIONALES" dataDxfId="4"/>
    <tableColumn id="2" name="Columna1"/>
    <tableColumn id="3" name="Columna2"/>
  </tableColumns>
  <tableStyleInfo name="TableStyleLight17" showFirstColumn="0" showLastColumn="0" showRowStripes="1" showColumnStripes="0"/>
</table>
</file>

<file path=xl/tables/table3.xml><?xml version="1.0" encoding="utf-8"?>
<table xmlns="http://schemas.openxmlformats.org/spreadsheetml/2006/main" id="3" name="Tabla5" displayName="Tabla5" ref="A17:C21" headerRowCount="1" totalsRowShown="0">
  <autoFilter ref="A17:C21"/>
  <tableColumns count="3">
    <tableColumn id="1" name="3. PROPUESTA DE PLATAFORMA PROPIA " dataDxfId="3"/>
    <tableColumn id="2" name="Columna1" dataDxfId="2"/>
    <tableColumn id="3" name="Columna2" dataDxfId="1"/>
  </tableColumns>
  <tableStyleInfo name="TableStyleLight19" showFirstColumn="0" showLastColumn="0" showRowStripes="1" showColumnStripes="0"/>
</table>
</file>

<file path=xl/tables/table4.xml><?xml version="1.0" encoding="utf-8"?>
<table xmlns="http://schemas.openxmlformats.org/spreadsheetml/2006/main" id="4" name="Tabla7" displayName="Tabla7" ref="A23:C26" headerRowCount="1" totalsRowShown="0">
  <autoFilter ref="A23:C26"/>
  <tableColumns count="3">
    <tableColumn id="1" name="4. RESUMEN DE AHORRO Y ROI (Lo que el cliente gana)" dataDxfId="0"/>
    <tableColumn id="2" name="Columna1"/>
    <tableColumn id="3" name="Columna2"/>
  </tableColumns>
  <tableStyleInfo name="TableStyleLight19" showFirstColumn="0" showLastColumn="0" showRowStripes="1" showColumnStripes="0"/>
</table>
</file>

<file path=xl/tables/table5.xml><?xml version="1.0" encoding="utf-8"?>
<table xmlns="http://schemas.openxmlformats.org/spreadsheetml/2006/main" id="5" name="Tabla103" displayName="Tabla103" ref="A5:C10" headerRowCount="1">
  <autoFilter ref="A5:C10"/>
  <tableColumns count="3">
    <tableColumn id="1" name="1. SI EMPIEZA A OFRECER PEDIDOS A DOMICILIO (Variables — ejemplo, ajustar en la visita)"/>
    <tableColumn id="2" name="Columna1"/>
    <tableColumn id="3" name="Columna2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id="6" name="Tabla104" displayName="Tabla104" ref="A12:C15" headerRowCount="1">
  <autoFilter ref="A12:C15"/>
  <tableColumns count="3">
    <tableColumn id="1" name="2. SI LO HICIERA A TRAVÉS DE UNA APP DE DELIVERY (PedidosYa/Uber Eats)"/>
    <tableColumn id="2" name="Columna1"/>
    <tableColumn id="3" name="Columna2"/>
  </tableColumns>
  <tableStyleInfo name="TableStyleLight17" showFirstColumn="0" showLastColumn="0" showRowStripes="1" showColumnStripes="0"/>
</table>
</file>

<file path=xl/tables/table7.xml><?xml version="1.0" encoding="utf-8"?>
<table xmlns="http://schemas.openxmlformats.org/spreadsheetml/2006/main" id="7" name="Tabla105" displayName="Tabla105" ref="A17:C21" headerRowCount="1">
  <autoFilter ref="A17:C21"/>
  <tableColumns count="3">
    <tableColumn id="1" name="3. PROPUESTA: TU PROPIA PLATAFORMA (Leogin, tarifa plana, 0% comisión)"/>
    <tableColumn id="2" name="Columna1"/>
    <tableColumn id="3" name="Columna2"/>
  </tableColumns>
  <tableStyleInfo name="TableStyleLight19" showFirstColumn="0" showLastColumn="0" showRowStripes="1" showColumnStripes="0"/>
</table>
</file>

<file path=xl/tables/table8.xml><?xml version="1.0" encoding="utf-8"?>
<table xmlns="http://schemas.openxmlformats.org/spreadsheetml/2006/main" id="8" name="Tabla107" displayName="Tabla107" ref="A23:C26" headerRowCount="1">
  <autoFilter ref="A23:C26"/>
  <tableColumns count="3">
    <tableColumn id="1" name="4. RESUMEN DE AHORRO Y ROI (Lo que el cliente gana)"/>
    <tableColumn id="2" name="Columna1"/>
    <tableColumn id="3" name="Columna2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_rels/sheet2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table" Target="/xl/tables/table6.xml" Id="rId2"/><Relationship Type="http://schemas.openxmlformats.org/officeDocument/2006/relationships/table" Target="/xl/tables/table7.xml" Id="rId3"/><Relationship Type="http://schemas.openxmlformats.org/officeDocument/2006/relationships/table" Target="/xl/tables/table8.xm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F35"/>
  <sheetViews>
    <sheetView tabSelected="1" topLeftCell="A4" workbookViewId="0">
      <selection activeCell="D27" sqref="D27"/>
    </sheetView>
  </sheetViews>
  <sheetFormatPr baseColWidth="10" defaultColWidth="12.6640625" defaultRowHeight="15.75" customHeight="1"/>
  <cols>
    <col width="57.109375" customWidth="1" min="1" max="1"/>
    <col width="12.77734375" bestFit="1" customWidth="1" min="2" max="2"/>
    <col width="15.33203125" bestFit="1" customWidth="1" min="3" max="3"/>
    <col width="16.33203125" customWidth="1" min="6" max="6"/>
  </cols>
  <sheetData>
    <row r="1">
      <c r="A1" s="10" t="inlineStr">
        <is>
          <t>ESCENARIO 1 — Restaurante que HOY YA usa apps de delivery (PedidosYa/Uber Eats)</t>
        </is>
      </c>
    </row>
    <row r="2">
      <c r="A2" s="1" t="inlineStr">
        <is>
          <t>Fecha:</t>
        </is>
      </c>
      <c r="B2" s="2">
        <f>TODAY()</f>
        <v/>
      </c>
    </row>
    <row r="3">
      <c r="A3" s="1" t="inlineStr">
        <is>
          <t>Restaurante:</t>
        </is>
      </c>
      <c r="B3" s="1" t="inlineStr">
        <is>
          <t>[Nombre del Cliente]</t>
        </is>
      </c>
    </row>
    <row r="5">
      <c r="A5" s="1" t="inlineStr">
        <is>
          <t>1. DATOS ACTUALES DEL RESTAURANTE (Variables)</t>
        </is>
      </c>
      <c r="B5" t="inlineStr">
        <is>
          <t>Columna1</t>
        </is>
      </c>
      <c r="C5" t="inlineStr">
        <is>
          <t>Columna2</t>
        </is>
      </c>
    </row>
    <row r="6">
      <c r="A6" s="1" t="inlineStr">
        <is>
          <t>Concepto</t>
        </is>
      </c>
      <c r="B6" s="8" t="inlineStr">
        <is>
          <t>Valor</t>
        </is>
      </c>
      <c r="C6" s="7" t="inlineStr">
        <is>
          <t>Anual</t>
        </is>
      </c>
      <c r="E6" s="9" t="inlineStr">
        <is>
          <t>Pedido diario</t>
        </is>
      </c>
      <c r="F6" s="9" t="inlineStr">
        <is>
          <t>dias lab semana</t>
        </is>
      </c>
    </row>
    <row r="7">
      <c r="A7" s="1" t="inlineStr">
        <is>
          <t>Pedidos a domicilio al mes (aprox)</t>
        </is>
      </c>
      <c r="B7" s="3">
        <f>(E7*F7)*4</f>
        <v/>
      </c>
      <c r="C7" s="3">
        <f>B7*12</f>
        <v/>
      </c>
      <c r="E7" t="n">
        <v>15</v>
      </c>
      <c r="F7" t="n">
        <v>6</v>
      </c>
    </row>
    <row r="8">
      <c r="A8" s="1" t="inlineStr">
        <is>
          <t>Ticket promedio por pedido</t>
        </is>
      </c>
      <c r="B8" s="4" t="n">
        <v>90</v>
      </c>
      <c r="C8" s="4" t="n"/>
    </row>
    <row r="9">
      <c r="A9" s="1" t="inlineStr">
        <is>
          <t>Venta Mensual Bruta en Delivery</t>
        </is>
      </c>
      <c r="B9" s="4">
        <f>B7*B8</f>
        <v/>
      </c>
      <c r="C9" s="4">
        <f>B9*12</f>
        <v/>
      </c>
    </row>
    <row r="10">
      <c r="A10" s="1" t="inlineStr">
        <is>
          <t>Comisión promedio de Apps (PedidosYa/Uber Eats etc.)</t>
        </is>
      </c>
      <c r="B10" s="5" t="n">
        <v>0.25</v>
      </c>
      <c r="C10" s="3" t="n"/>
    </row>
    <row r="12">
      <c r="A12" s="1" t="inlineStr">
        <is>
          <t>2. COSTO ACTUAL EN APPS TRADICIONALES</t>
        </is>
      </c>
      <c r="B12" s="9" t="inlineStr">
        <is>
          <t>Columna1</t>
        </is>
      </c>
      <c r="C12" t="inlineStr">
        <is>
          <t>Columna2</t>
        </is>
      </c>
    </row>
    <row r="13">
      <c r="A13" s="1" t="inlineStr">
        <is>
          <t>Concepto</t>
        </is>
      </c>
      <c r="B13" s="1" t="inlineStr">
        <is>
          <t>Mensual</t>
        </is>
      </c>
      <c r="C13" s="1" t="inlineStr">
        <is>
          <t>Anual</t>
        </is>
      </c>
    </row>
    <row r="14">
      <c r="A14" s="1" t="inlineStr">
        <is>
          <t>Pago total en comisiones a terceros</t>
        </is>
      </c>
      <c r="B14" s="4">
        <f>B9*B10</f>
        <v/>
      </c>
      <c r="C14" s="4">
        <f>B14*12</f>
        <v/>
      </c>
    </row>
    <row r="15">
      <c r="A15" s="1" t="inlineStr">
        <is>
          <t>Dinero que realmente ingresa al restaurante</t>
        </is>
      </c>
      <c r="B15" s="4">
        <f>B9-B14</f>
        <v/>
      </c>
      <c r="C15" s="4">
        <f>C9-C14</f>
        <v/>
      </c>
    </row>
    <row r="17">
      <c r="A17" s="6" t="inlineStr">
        <is>
          <t xml:space="preserve">3. PROPUESTA DE PLATAFORMA PROPIA </t>
        </is>
      </c>
      <c r="B17" t="inlineStr">
        <is>
          <t>Columna1</t>
        </is>
      </c>
      <c r="C17" t="inlineStr">
        <is>
          <t>Columna2</t>
        </is>
      </c>
    </row>
    <row r="18">
      <c r="A18" s="1" t="inlineStr">
        <is>
          <t>Concepto</t>
        </is>
      </c>
      <c r="B18" s="1" t="inlineStr">
        <is>
          <t>Mensual</t>
        </is>
      </c>
      <c r="C18" s="1" t="inlineStr">
        <is>
          <t>Anual</t>
        </is>
      </c>
    </row>
    <row r="19">
      <c r="A19" s="1" t="inlineStr">
        <is>
          <t>Plan Premium (Tarifa Plana sin comisiones)</t>
        </is>
      </c>
      <c r="B19" s="4" t="n">
        <v>349</v>
      </c>
      <c r="C19" s="4">
        <f>B19*12</f>
        <v/>
      </c>
    </row>
    <row r="20">
      <c r="A20" s="1" t="inlineStr">
        <is>
          <t>Costo de Setup/Implementación (Pago único)</t>
        </is>
      </c>
      <c r="B20" s="4" t="n">
        <v>300</v>
      </c>
      <c r="C20" s="4" t="n">
        <v>300</v>
      </c>
    </row>
    <row r="21">
      <c r="A21" s="1" t="inlineStr">
        <is>
          <t>Dinero que ingresa al restaurante (Restando plan)</t>
        </is>
      </c>
      <c r="B21" s="4">
        <f>B9-B19</f>
        <v/>
      </c>
      <c r="C21" s="4">
        <f>C9-C19</f>
        <v/>
      </c>
    </row>
    <row r="23">
      <c r="A23" s="1" t="inlineStr">
        <is>
          <t>4. RESUMEN DE AHORRO Y ROI (Lo que el cliente gana)</t>
        </is>
      </c>
      <c r="B23" t="inlineStr">
        <is>
          <t>Columna1</t>
        </is>
      </c>
      <c r="C23" t="inlineStr">
        <is>
          <t>Columna2</t>
        </is>
      </c>
    </row>
    <row r="24">
      <c r="A24" s="1" t="inlineStr">
        <is>
          <t>Concepto</t>
        </is>
      </c>
      <c r="B24" s="1" t="inlineStr">
        <is>
          <t>Ahorro Mensual</t>
        </is>
      </c>
      <c r="C24" s="1" t="inlineStr">
        <is>
          <t>Ahorro Anual</t>
        </is>
      </c>
    </row>
    <row r="25">
      <c r="A25" s="1" t="inlineStr">
        <is>
          <t>Dinero extra en la bolsa del dueño</t>
        </is>
      </c>
      <c r="B25" s="4">
        <f>B21-B15</f>
        <v/>
      </c>
      <c r="C25" s="4">
        <f>C21-C15</f>
        <v/>
      </c>
    </row>
    <row r="26">
      <c r="A26" s="1" t="inlineStr">
        <is>
          <t>Porcentaje de incremento en ganancias</t>
        </is>
      </c>
      <c r="B26" s="5">
        <f>B25/B15</f>
        <v/>
      </c>
      <c r="C26" s="5">
        <f>C25/C15</f>
        <v/>
      </c>
    </row>
    <row r="28">
      <c r="A28" s="11" t="inlineStr">
        <is>
          <t>Nota: los valores de la sección 1 (pedidos/día, ticket promedio, comisión) son un ejemplo de partida — ajústalos con los datos reales del restaurante antes de mostrar esta comparación.</t>
        </is>
      </c>
    </row>
    <row r="29">
      <c r="A29" s="1" t="n"/>
      <c r="B29" s="1" t="n"/>
      <c r="C29" s="1" t="n"/>
    </row>
    <row r="30">
      <c r="A30" s="1" t="n"/>
      <c r="B30" s="1" t="n"/>
      <c r="C30" s="1" t="n"/>
    </row>
    <row r="31">
      <c r="A31" s="1" t="n"/>
      <c r="B31" s="1" t="n"/>
      <c r="C31" s="1" t="n"/>
    </row>
    <row r="32">
      <c r="A32" s="1" t="n"/>
      <c r="B32" s="1" t="n"/>
      <c r="C32" s="1" t="n"/>
    </row>
    <row r="33">
      <c r="A33" s="1" t="n"/>
      <c r="B33" s="1" t="n"/>
      <c r="C33" s="1" t="n"/>
    </row>
    <row r="34">
      <c r="A34" s="1" t="n"/>
      <c r="B34" s="1" t="n"/>
      <c r="C34" s="1" t="n"/>
    </row>
    <row r="35">
      <c r="A35" s="1" t="n"/>
      <c r="B35" s="1" t="n"/>
      <c r="C35" s="1" t="n"/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D19" sqref="D19"/>
    </sheetView>
  </sheetViews>
  <sheetFormatPr baseColWidth="10" defaultRowHeight="13.2"/>
  <cols>
    <col width="57.109375" customWidth="1" min="1" max="1"/>
    <col width="12.77734375" customWidth="1" min="2" max="2"/>
    <col width="15.33203125" customWidth="1" min="3" max="3"/>
    <col width="16.33203125" customWidth="1" min="6" max="6"/>
  </cols>
  <sheetData>
    <row r="1">
      <c r="A1" s="10" t="inlineStr">
        <is>
          <t>ESCENARIO 2 — Restaurante que HOY NO usa apps de delivery (perfil como El Progreso, Jutiapa)</t>
        </is>
      </c>
    </row>
    <row r="2">
      <c r="A2" s="1" t="inlineStr">
        <is>
          <t>Fecha:</t>
        </is>
      </c>
      <c r="B2" s="2">
        <f>TODAY()</f>
        <v/>
      </c>
    </row>
    <row r="3">
      <c r="A3" s="1" t="inlineStr">
        <is>
          <t>Restaurante:</t>
        </is>
      </c>
      <c r="B3" s="1" t="inlineStr">
        <is>
          <t>[Nombre del Cliente]</t>
        </is>
      </c>
    </row>
    <row r="5">
      <c r="A5" s="1" t="inlineStr">
        <is>
          <t>1. SI EMPIEZA A OFRECER PEDIDOS A DOMICILIO (Variables — ejemplo, ajustar en la visita)</t>
        </is>
      </c>
      <c r="B5" t="inlineStr">
        <is>
          <t>Columna1</t>
        </is>
      </c>
      <c r="C5" t="inlineStr">
        <is>
          <t>Columna2</t>
        </is>
      </c>
    </row>
    <row r="6">
      <c r="A6" s="1" t="inlineStr">
        <is>
          <t>Concepto</t>
        </is>
      </c>
      <c r="B6" s="8" t="inlineStr">
        <is>
          <t>Valor</t>
        </is>
      </c>
      <c r="C6" s="7" t="inlineStr">
        <is>
          <t>Anual</t>
        </is>
      </c>
      <c r="E6" s="9" t="inlineStr">
        <is>
          <t>Pedido diario</t>
        </is>
      </c>
      <c r="F6" s="9" t="inlineStr">
        <is>
          <t>dias lab semana</t>
        </is>
      </c>
    </row>
    <row r="7">
      <c r="A7" s="1" t="inlineStr">
        <is>
          <t>Pedidos a domicilio al mes (aprox)</t>
        </is>
      </c>
      <c r="B7" s="3">
        <f>(E7*F7)*4</f>
        <v/>
      </c>
      <c r="C7" s="3">
        <f>B7*12</f>
        <v/>
      </c>
      <c r="E7" t="n">
        <v>8</v>
      </c>
      <c r="F7" t="n">
        <v>6</v>
      </c>
    </row>
    <row r="8">
      <c r="A8" s="1" t="inlineStr">
        <is>
          <t>Ticket promedio por pedido</t>
        </is>
      </c>
      <c r="B8" s="4" t="n">
        <v>60</v>
      </c>
    </row>
    <row r="9">
      <c r="A9" s="1" t="inlineStr">
        <is>
          <t>Venta Mensual Bruta en Delivery (si empezara)</t>
        </is>
      </c>
      <c r="B9" s="4">
        <f>B7*B8</f>
        <v/>
      </c>
      <c r="C9" s="4">
        <f>B9*12</f>
        <v/>
      </c>
    </row>
    <row r="10">
      <c r="A10" s="1" t="inlineStr">
        <is>
          <t>Comisión promedio de Apps (PedidosYa/Uber Eats etc.)</t>
        </is>
      </c>
      <c r="B10" s="5" t="n">
        <v>0.25</v>
      </c>
    </row>
    <row r="12">
      <c r="A12" s="1" t="inlineStr">
        <is>
          <t>2. SI LO HICIERA A TRAVÉS DE UNA APP DE DELIVERY (PedidosYa/Uber Eats)</t>
        </is>
      </c>
      <c r="B12" s="9" t="inlineStr">
        <is>
          <t>Columna1</t>
        </is>
      </c>
      <c r="C12" t="inlineStr">
        <is>
          <t>Columna2</t>
        </is>
      </c>
    </row>
    <row r="13">
      <c r="A13" s="1" t="inlineStr">
        <is>
          <t>Concepto</t>
        </is>
      </c>
      <c r="B13" s="1" t="inlineStr">
        <is>
          <t>Mensual</t>
        </is>
      </c>
      <c r="C13" s="1" t="inlineStr">
        <is>
          <t>Anual</t>
        </is>
      </c>
    </row>
    <row r="14">
      <c r="A14" s="1" t="inlineStr">
        <is>
          <t>Pago total en comisiones a terceros</t>
        </is>
      </c>
      <c r="B14" s="4">
        <f>B9*B10</f>
        <v/>
      </c>
      <c r="C14" s="4">
        <f>B14*12</f>
        <v/>
      </c>
    </row>
    <row r="15">
      <c r="A15" s="1" t="inlineStr">
        <is>
          <t>Dinero que realmente ingresaría al restaurante</t>
        </is>
      </c>
      <c r="B15" s="4">
        <f>B9-B14</f>
        <v/>
      </c>
      <c r="C15" s="4">
        <f>C9-C14</f>
        <v/>
      </c>
    </row>
    <row r="17">
      <c r="A17" s="6" t="inlineStr">
        <is>
          <t>3. PROPUESTA: TU PROPIA PLATAFORMA (Leogin, tarifa plana, 0% comisión)</t>
        </is>
      </c>
      <c r="B17" t="inlineStr">
        <is>
          <t>Columna1</t>
        </is>
      </c>
      <c r="C17" t="inlineStr">
        <is>
          <t>Columna2</t>
        </is>
      </c>
    </row>
    <row r="18">
      <c r="A18" s="1" t="inlineStr">
        <is>
          <t>Concepto</t>
        </is>
      </c>
      <c r="B18" s="1" t="inlineStr">
        <is>
          <t>Mensual</t>
        </is>
      </c>
      <c r="C18" s="1" t="inlineStr">
        <is>
          <t>Anual</t>
        </is>
      </c>
    </row>
    <row r="19">
      <c r="A19" s="1" t="inlineStr">
        <is>
          <t>Plan Estándar (Tarifa Plana sin comisiones, 2 canales: local + domicilio)</t>
        </is>
      </c>
      <c r="B19" s="4" t="n">
        <v>199</v>
      </c>
      <c r="C19" s="4">
        <f>B19*12</f>
        <v/>
      </c>
    </row>
    <row r="20">
      <c r="A20" s="1" t="inlineStr">
        <is>
          <t>Costo de Setup/Implementación (Pago único)</t>
        </is>
      </c>
      <c r="B20" s="4" t="n">
        <v>300</v>
      </c>
      <c r="C20" s="4" t="n">
        <v>300</v>
      </c>
    </row>
    <row r="21">
      <c r="A21" s="1" t="inlineStr">
        <is>
          <t>Dinero que ingresaría al restaurante (Restando plan)</t>
        </is>
      </c>
      <c r="B21" s="4">
        <f>B9-B19</f>
        <v/>
      </c>
      <c r="C21" s="4">
        <f>C9-C19</f>
        <v/>
      </c>
    </row>
    <row r="23">
      <c r="A23" s="1" t="inlineStr">
        <is>
          <t>4. RESUMEN DE AHORRO Y ROI (Lo que el cliente gana)</t>
        </is>
      </c>
      <c r="B23" t="inlineStr">
        <is>
          <t>Columna1</t>
        </is>
      </c>
      <c r="C23" t="inlineStr">
        <is>
          <t>Columna2</t>
        </is>
      </c>
    </row>
    <row r="24">
      <c r="A24" s="1" t="inlineStr">
        <is>
          <t>Concepto</t>
        </is>
      </c>
      <c r="B24" s="1" t="inlineStr">
        <is>
          <t>Ahorro Mensual</t>
        </is>
      </c>
      <c r="C24" s="1" t="inlineStr">
        <is>
          <t>Ahorro Anual</t>
        </is>
      </c>
    </row>
    <row r="25">
      <c r="A25" s="1" t="inlineStr">
        <is>
          <t>Dinero extra en la bolsa del dueño (vs. usar una app de delivery)</t>
        </is>
      </c>
      <c r="B25" s="4">
        <f>B21-B15</f>
        <v/>
      </c>
      <c r="C25" s="4">
        <f>C21-C15</f>
        <v/>
      </c>
    </row>
    <row r="26">
      <c r="A26" s="1" t="inlineStr">
        <is>
          <t>Porcentaje de incremento en ganancias</t>
        </is>
      </c>
      <c r="B26" s="5">
        <f>B25/B15</f>
        <v/>
      </c>
      <c r="C26" s="5">
        <f>C25/C15</f>
        <v/>
      </c>
    </row>
    <row r="28">
      <c r="A28" s="11" t="inlineStr">
        <is>
          <t>Nota: este restaurante HOY no paga comisiones porque no usa apps de delivery. Esta tabla compara cuánto costaría empezar a ofrecer domicilio a través de una app de terceros (25% de comisión) frente a empezar directamente con tu propia plataforma (Leogin, tarifa plana). Los pedidos/día, el ticket promedio y el plan elegido son un ejemplo — ajústalos según la conversación real con el dueño.</t>
        </is>
      </c>
    </row>
  </sheetData>
  <pageMargins left="0.7" right="0.7" top="0.75" bottom="0.75" header="0.3" footer="0.3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Leo Zepeda</dc:creator>
  <dcterms:created xmlns:dcterms="http://purl.org/dc/terms/" xmlns:xsi="http://www.w3.org/2001/XMLSchema-instance" xsi:type="dcterms:W3CDTF">2026-06-15T16:26:37Z</dcterms:created>
  <dcterms:modified xmlns:dcterms="http://purl.org/dc/terms/" xmlns:xsi="http://www.w3.org/2001/XMLSchema-instance" xsi:type="dcterms:W3CDTF">2026-07-24T19:48:29Z</dcterms:modified>
  <cp:lastModifiedBy>2218060 - CRISTOPHER LEONARDO ZEPEDA ESQUIVEL</cp:lastModifiedBy>
</cp:coreProperties>
</file>