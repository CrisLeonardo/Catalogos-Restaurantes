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nec\Documents\Catalogos-Restaurantes\"/>
    </mc:Choice>
  </mc:AlternateContent>
  <xr:revisionPtr revIDLastSave="0" documentId="13_ncr:1_{5CF404CB-6E98-4A6F-BE83-F28EA5F8893C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Cotizador_Catalogos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9" i="1" s="1"/>
  <c r="B14" i="1" s="1"/>
  <c r="C14" i="1" s="1"/>
  <c r="C19" i="1"/>
  <c r="B2" i="1"/>
  <c r="C7" i="1" l="1"/>
  <c r="B21" i="1"/>
  <c r="B15" i="1"/>
  <c r="C9" i="1"/>
  <c r="B25" i="1" l="1"/>
  <c r="C15" i="1"/>
  <c r="C21" i="1"/>
  <c r="C25" i="1" l="1"/>
</calcChain>
</file>

<file path=xl/sharedStrings.xml><?xml version="1.0" encoding="utf-8"?>
<sst xmlns="http://schemas.openxmlformats.org/spreadsheetml/2006/main" count="40" uniqueCount="28">
  <si>
    <t>Fecha:</t>
  </si>
  <si>
    <t>Restaurante:</t>
  </si>
  <si>
    <t>[Nombre del Cliente]</t>
  </si>
  <si>
    <t>1. DATOS ACTUALES DEL RESTAURANTE (Variables)</t>
  </si>
  <si>
    <t>Concepto</t>
  </si>
  <si>
    <t>Valor</t>
  </si>
  <si>
    <t>Pedidos a domicilio al mes (aprox)</t>
  </si>
  <si>
    <t>Ticket promedio por pedido</t>
  </si>
  <si>
    <t>Venta Mensual Bruta en Delivery</t>
  </si>
  <si>
    <t>Comisión promedio de Apps (PedidosYa/Uber Eats etc.)</t>
  </si>
  <si>
    <t>2. COSTO ACTUAL EN APPS TRADICIONALES</t>
  </si>
  <si>
    <t>Mensual</t>
  </si>
  <si>
    <t>Anual</t>
  </si>
  <si>
    <t>Pago total en comisiones a terceros</t>
  </si>
  <si>
    <t>Dinero que realmente ingresa al restaurante</t>
  </si>
  <si>
    <t>Plan Premium (Tarifa Plana sin comisiones)</t>
  </si>
  <si>
    <t>Costo de Setup/Implementación (Pago único)</t>
  </si>
  <si>
    <t>Dinero que ingresa al restaurante (Restando plan)</t>
  </si>
  <si>
    <t>4. RESUMEN DE AHORRO Y ROI (Lo que el cliente gana)</t>
  </si>
  <si>
    <t>Ahorro Mensual</t>
  </si>
  <si>
    <t>Ahorro Anual</t>
  </si>
  <si>
    <t>Dinero extra en la bolsa del dueño</t>
  </si>
  <si>
    <t>Porcentaje de incremento en ganancias</t>
  </si>
  <si>
    <t xml:space="preserve">3. PROPUESTA DE PLATAFORMA PROPIA </t>
  </si>
  <si>
    <t>Columna1</t>
  </si>
  <si>
    <t>Columna2</t>
  </si>
  <si>
    <t>Pedido diario</t>
  </si>
  <si>
    <t>dias lab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</si>
</sst>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Q-100A]* #,##0.00_-;\-[$Q-100A]* #,##0.00_-;_-[$Q-100A]* &quot;-&quot;??_-;_-@_-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10" fontId="2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_-[$Q-100A]* #,##0.00_-;\-[$Q-100A]* #,##0.00_-;_-[$Q-100A]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_-[$Q-100A]* #,##0.00_-;\-[$Q-100A]* #,##0.00_-;_-[$Q-100A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AEC800-5667-4F6F-BB4D-DEB3682182C8}" name="Tabla3" displayName="Tabla3" ref="A5:C10" totalsRowShown="0">
  <autoFilter ref="A5:C10" xr:uid="{F1AEC800-5667-4F6F-BB4D-DEB3682182C8}"/>
  <tableColumns count="3">
    <tableColumn id="1" xr3:uid="{EAA4DD95-10A4-40D1-BF5D-814971AE6867}" name="1. DATOS ACTUALES DEL RESTAURANTE (Variables)" dataDxfId="5"/>
    <tableColumn id="2" xr3:uid="{0430CAA4-2938-4855-AA0D-016A2B31D35A}" name="Columna1"/>
    <tableColumn id="3" xr3:uid="{FDCC613F-470D-4260-96F4-BE1B2EB18A7F}" name="Columna2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130A46-F66A-4792-A2C2-0A56F5DAC019}" name="Tabla4" displayName="Tabla4" ref="A12:C15" totalsRowShown="0">
  <autoFilter ref="A12:C15" xr:uid="{98130A46-F66A-4792-A2C2-0A56F5DAC019}"/>
  <tableColumns count="3">
    <tableColumn id="1" xr3:uid="{B692865A-6D62-4C5A-8D3C-102AA9A34C04}" name="2. COSTO ACTUAL EN APPS TRADICIONALES" dataDxfId="4"/>
    <tableColumn id="2" xr3:uid="{892CC2B1-277F-4093-96B9-23828B75F0F8}" name="Columna1"/>
    <tableColumn id="3" xr3:uid="{2F7EE182-609F-45C9-8543-8786C909357E}" name="Columna2"/>
  </tableColumns>
  <tableStyleInfo name="TableStyleLight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F54B93-4C00-487B-B4EA-96EA16C4FF50}" name="Tabla5" displayName="Tabla5" ref="A17:C21" totalsRowShown="0">
  <autoFilter ref="A17:C21" xr:uid="{15F54B93-4C00-487B-B4EA-96EA16C4FF50}"/>
  <tableColumns count="3">
    <tableColumn id="1" xr3:uid="{BAEEE9BA-CE62-4C7B-8610-56652BD5E06F}" name="3. PROPUESTA DE PLATAFORMA PROPIA " dataDxfId="3"/>
    <tableColumn id="2" xr3:uid="{1EBCF1AD-0870-49B9-B29F-CD0E1878E2FB}" name="Columna1" dataDxfId="2"/>
    <tableColumn id="3" xr3:uid="{B04D2D17-F4A1-4533-B988-069D27DD9D10}" name="Columna2" dataDxfId="1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E25DCD4-CFBD-4751-A19A-C1B94D1C3E16}" name="Tabla7" displayName="Tabla7" ref="A23:C26" totalsRowShown="0">
  <autoFilter ref="A23:C26" xr:uid="{AE25DCD4-CFBD-4751-A19A-C1B94D1C3E16}"/>
  <tableColumns count="3">
    <tableColumn id="1" xr3:uid="{8F7798DD-8C09-46BF-802B-AFA9AB316070}" name="4. RESUMEN DE AHORRO Y ROI (Lo que el cliente gana)" dataDxfId="0"/>
    <tableColumn id="2" xr3:uid="{A1162FD7-2206-4455-8AC8-67F67809DD92}" name="Columna1"/>
    <tableColumn id="3" xr3:uid="{3AD2C28C-908F-4D53-85BA-B9422CBD0310}" name="Columna2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5"/>
  <sheetViews>
    <sheetView tabSelected="1" topLeftCell="A4" workbookViewId="0">
      <selection activeCell="D27" sqref="D27"/>
    </sheetView>
  </sheetViews>
  <sheetFormatPr baseColWidth="10" defaultColWidth="12.6640625" defaultRowHeight="15.75" customHeight="1" x14ac:dyDescent="0.25"/>
  <cols>
    <col min="1" max="1" width="57.109375" customWidth="1"/>
    <col min="2" max="2" width="12.77734375" bestFit="1" customWidth="1"/>
    <col min="3" max="3" width="15.33203125" bestFit="1" customWidth="1"/>
    <col min="6" max="6" width="16.33203125" customWidth="1"/>
  </cols>
  <sheetData>
    <row r="1" spans="1:6" x14ac:dyDescent="0.25">
      <c r="A1" s="1"/>
    </row>
    <row r="2" spans="1:6" x14ac:dyDescent="0.25">
      <c r="A2" s="1" t="s">
        <v>0</v>
      </c>
      <c r="B2" s="2">
        <f ca="1">TODAY()</f>
        <v>46188</v>
      </c>
    </row>
    <row r="3" spans="1:6" x14ac:dyDescent="0.25">
      <c r="A3" s="1" t="s">
        <v>1</v>
      </c>
      <c r="B3" s="1" t="s">
        <v>2</v>
      </c>
    </row>
    <row r="5" spans="1:6" x14ac:dyDescent="0.25">
      <c r="A5" s="1" t="s">
        <v>3</v>
      </c>
      <c r="B5" t="s">
        <v>24</v>
      </c>
      <c r="C5" t="s">
        <v>25</v>
      </c>
    </row>
    <row r="6" spans="1:6" x14ac:dyDescent="0.25">
      <c r="A6" s="1" t="s">
        <v>4</v>
      </c>
      <c r="B6" s="8" t="s">
        <v>5</v>
      </c>
      <c r="C6" s="7" t="s">
        <v>12</v>
      </c>
      <c r="E6" s="9" t="s">
        <v>26</v>
      </c>
      <c r="F6" s="9" t="s">
        <v>27</v>
      </c>
    </row>
    <row r="7" spans="1:6" x14ac:dyDescent="0.25">
      <c r="A7" s="1" t="s">
        <v>6</v>
      </c>
      <c r="B7" s="3">
        <f>(E7*F7)*4</f>
        <v>360</v>
      </c>
      <c r="C7" s="3">
        <f>B7*12</f>
        <v>4320</v>
      </c>
      <c r="E7">
        <v>15</v>
      </c>
      <c r="F7">
        <v>6</v>
      </c>
    </row>
    <row r="8" spans="1:6" x14ac:dyDescent="0.25">
      <c r="A8" s="1" t="s">
        <v>7</v>
      </c>
      <c r="B8" s="4">
        <v>90</v>
      </c>
      <c r="C8" s="4"/>
    </row>
    <row r="9" spans="1:6" x14ac:dyDescent="0.25">
      <c r="A9" s="1" t="s">
        <v>8</v>
      </c>
      <c r="B9" s="4">
        <f>B7*B8</f>
        <v>32400</v>
      </c>
      <c r="C9" s="4">
        <f>B9*12</f>
        <v>388800</v>
      </c>
    </row>
    <row r="10" spans="1:6" x14ac:dyDescent="0.25">
      <c r="A10" s="1" t="s">
        <v>9</v>
      </c>
      <c r="B10" s="5">
        <v>0.25</v>
      </c>
      <c r="C10" s="3"/>
    </row>
    <row r="12" spans="1:6" x14ac:dyDescent="0.25">
      <c r="A12" s="1" t="s">
        <v>10</v>
      </c>
      <c r="B12" s="9" t="s">
        <v>24</v>
      </c>
      <c r="C12" t="s">
        <v>25</v>
      </c>
    </row>
    <row r="13" spans="1:6" x14ac:dyDescent="0.25">
      <c r="A13" s="1" t="s">
        <v>4</v>
      </c>
      <c r="B13" s="1" t="s">
        <v>11</v>
      </c>
      <c r="C13" s="1" t="s">
        <v>12</v>
      </c>
    </row>
    <row r="14" spans="1:6" x14ac:dyDescent="0.25">
      <c r="A14" s="1" t="s">
        <v>13</v>
      </c>
      <c r="B14" s="4">
        <f>B9*B10</f>
        <v>8100</v>
      </c>
      <c r="C14" s="4">
        <f>B14*12</f>
        <v>97200</v>
      </c>
    </row>
    <row r="15" spans="1:6" x14ac:dyDescent="0.25">
      <c r="A15" s="1" t="s">
        <v>14</v>
      </c>
      <c r="B15" s="4">
        <f>B9-B14</f>
        <v>24300</v>
      </c>
      <c r="C15" s="4">
        <f>C9-C14</f>
        <v>291600</v>
      </c>
    </row>
    <row r="17" spans="1:3" x14ac:dyDescent="0.25">
      <c r="A17" s="6" t="s">
        <v>23</v>
      </c>
      <c r="B17" t="s">
        <v>24</v>
      </c>
      <c r="C17" t="s">
        <v>25</v>
      </c>
    </row>
    <row r="18" spans="1:3" x14ac:dyDescent="0.25">
      <c r="A18" s="1" t="s">
        <v>4</v>
      </c>
      <c r="B18" s="1" t="s">
        <v>11</v>
      </c>
      <c r="C18" s="1" t="s">
        <v>12</v>
      </c>
    </row>
    <row r="19" spans="1:3" x14ac:dyDescent="0.25">
      <c r="A19" s="1" t="s">
        <v>15</v>
      </c>
      <c r="B19" s="4">
        <v>1000</v>
      </c>
      <c r="C19" s="4">
        <f>B19*12</f>
        <v>12000</v>
      </c>
    </row>
    <row r="20" spans="1:3" x14ac:dyDescent="0.25">
      <c r="A20" s="1" t="s">
        <v>16</v>
      </c>
      <c r="B20" s="4">
        <v>250</v>
      </c>
      <c r="C20" s="4">
        <v>250</v>
      </c>
    </row>
    <row r="21" spans="1:3" x14ac:dyDescent="0.25">
      <c r="A21" s="1" t="s">
        <v>17</v>
      </c>
      <c r="B21" s="4">
        <f>B9-B19</f>
        <v>31400</v>
      </c>
      <c r="C21" s="4">
        <f>C9-C19</f>
        <v>376800</v>
      </c>
    </row>
    <row r="23" spans="1:3" x14ac:dyDescent="0.25">
      <c r="A23" s="1" t="s">
        <v>18</v>
      </c>
      <c r="B23" t="s">
        <v>24</v>
      </c>
      <c r="C23" t="s">
        <v>25</v>
      </c>
    </row>
    <row r="24" spans="1:3" x14ac:dyDescent="0.25">
      <c r="A24" s="1" t="s">
        <v>4</v>
      </c>
      <c r="B24" s="1" t="s">
        <v>19</v>
      </c>
      <c r="C24" s="1" t="s">
        <v>20</v>
      </c>
    </row>
    <row r="25" spans="1:3" x14ac:dyDescent="0.25">
      <c r="A25" s="1" t="s">
        <v>21</v>
      </c>
      <c r="B25" s="4">
        <f>B21-B15</f>
        <v>7100</v>
      </c>
      <c r="C25" s="4">
        <f>C21-C15</f>
        <v>85200</v>
      </c>
    </row>
    <row r="26" spans="1:3" x14ac:dyDescent="0.25">
      <c r="A26" s="1" t="s">
        <v>22</v>
      </c>
      <c r="B26" s="1"/>
    </row>
    <row r="28" spans="1:3" x14ac:dyDescent="0.25">
      <c r="A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EAD0E-9B32-445E-A0A2-97DD3F1490A7}">
  <dimension ref="A1"/>
  <sheetViews>
    <sheetView workbookViewId="0">
      <selection activeCell="D19" sqref="D19"/>
    </sheetView>
  </sheetViews>
  <sheetFormatPr baseColWidth="10"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Cotizador_Catalogos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Zepeda</dc:creator>
  <cp:lastModifiedBy>2218060 - CRISTOPHER LEONARDO ZEPEDA ESQUIVEL</cp:lastModifiedBy>
  <dcterms:created xsi:type="dcterms:W3CDTF">2026-06-15T16:26:37Z</dcterms:created>
  <dcterms:modified xsi:type="dcterms:W3CDTF">2026-06-16T01:27:15Z</dcterms:modified>
</cp:coreProperties>
</file>